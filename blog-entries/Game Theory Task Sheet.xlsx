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taD\Desktop\"/>
    </mc:Choice>
  </mc:AlternateContent>
  <xr:revisionPtr revIDLastSave="0" documentId="13_ncr:1_{D040672B-A271-478F-B789-29BA7D29FC9B}" xr6:coauthVersionLast="47" xr6:coauthVersionMax="47" xr10:uidLastSave="{00000000-0000-0000-0000-000000000000}"/>
  <bookViews>
    <workbookView xWindow="-28920" yWindow="-120" windowWidth="29040" windowHeight="15720" activeTab="1" xr2:uid="{DECD86CA-AFEA-43BA-885A-DBEB220D6E35}"/>
  </bookViews>
  <sheets>
    <sheet name="Weights" sheetId="1" r:id="rId1"/>
    <sheet name="Mai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M2" i="2"/>
  <c r="M4" i="2"/>
  <c r="M6" i="2"/>
  <c r="M5" i="2"/>
  <c r="M8" i="2"/>
  <c r="M9" i="2"/>
  <c r="M7" i="2"/>
  <c r="M10" i="2"/>
  <c r="M13" i="2"/>
  <c r="M11" i="2"/>
  <c r="M12" i="2"/>
  <c r="M14" i="2"/>
  <c r="H12" i="2"/>
  <c r="I12" i="2"/>
  <c r="J12" i="2"/>
  <c r="K12" i="2"/>
  <c r="L12" i="2"/>
  <c r="H2" i="2"/>
  <c r="H6" i="2"/>
  <c r="I2" i="2"/>
  <c r="I6" i="2"/>
  <c r="J2" i="2"/>
  <c r="J6" i="2"/>
  <c r="K2" i="2"/>
  <c r="K6" i="2"/>
  <c r="L2" i="2"/>
  <c r="N2" i="2" s="1"/>
  <c r="L6" i="2"/>
  <c r="N6" i="2" s="1"/>
  <c r="H7" i="2"/>
  <c r="H5" i="2"/>
  <c r="I7" i="2"/>
  <c r="I5" i="2"/>
  <c r="J7" i="2"/>
  <c r="J5" i="2"/>
  <c r="K7" i="2"/>
  <c r="K5" i="2"/>
  <c r="L7" i="2"/>
  <c r="L5" i="2"/>
  <c r="H8" i="2"/>
  <c r="I8" i="2"/>
  <c r="J8" i="2"/>
  <c r="K8" i="2"/>
  <c r="L8" i="2"/>
  <c r="H10" i="2"/>
  <c r="I10" i="2"/>
  <c r="J10" i="2"/>
  <c r="K10" i="2"/>
  <c r="L10" i="2"/>
  <c r="H4" i="2"/>
  <c r="I4" i="2"/>
  <c r="J4" i="2"/>
  <c r="K4" i="2"/>
  <c r="L4" i="2"/>
  <c r="N4" i="2" s="1"/>
  <c r="H3" i="2"/>
  <c r="I3" i="2"/>
  <c r="J3" i="2"/>
  <c r="K3" i="2"/>
  <c r="L3" i="2"/>
  <c r="H9" i="2"/>
  <c r="I9" i="2"/>
  <c r="J9" i="2"/>
  <c r="K9" i="2"/>
  <c r="L9" i="2"/>
  <c r="H13" i="2"/>
  <c r="I13" i="2"/>
  <c r="J13" i="2"/>
  <c r="K13" i="2"/>
  <c r="L13" i="2"/>
  <c r="H14" i="2"/>
  <c r="I14" i="2"/>
  <c r="J14" i="2"/>
  <c r="K14" i="2"/>
  <c r="L14" i="2"/>
  <c r="L11" i="2"/>
  <c r="K11" i="2"/>
  <c r="J11" i="2"/>
  <c r="I11" i="2"/>
  <c r="H11" i="2"/>
  <c r="N11" i="2" s="1"/>
  <c r="N10" i="2" l="1"/>
  <c r="O12" i="2" s="1"/>
  <c r="N14" i="2"/>
  <c r="N12" i="2"/>
  <c r="N13" i="2"/>
  <c r="N8" i="2"/>
  <c r="N3" i="2"/>
  <c r="N5" i="2"/>
  <c r="N9" i="2"/>
  <c r="N7" i="2"/>
  <c r="O3" i="2" l="1"/>
  <c r="O14" i="2"/>
  <c r="O8" i="2"/>
  <c r="O6" i="2"/>
  <c r="O2" i="2"/>
  <c r="O11" i="2"/>
  <c r="O13" i="2"/>
  <c r="O7" i="2"/>
  <c r="O9" i="2"/>
  <c r="O10" i="2"/>
  <c r="O4" i="2"/>
  <c r="O5" i="2"/>
</calcChain>
</file>

<file path=xl/sharedStrings.xml><?xml version="1.0" encoding="utf-8"?>
<sst xmlns="http://schemas.openxmlformats.org/spreadsheetml/2006/main" count="107" uniqueCount="52">
  <si>
    <t>Label</t>
  </si>
  <si>
    <t>Weight_W</t>
  </si>
  <si>
    <t>Frequency</t>
  </si>
  <si>
    <t>Multiplier_F</t>
  </si>
  <si>
    <t>Urgency</t>
  </si>
  <si>
    <t>Score_U</t>
  </si>
  <si>
    <t>Academic</t>
  </si>
  <si>
    <t>Financial</t>
  </si>
  <si>
    <t>Automotive</t>
  </si>
  <si>
    <t>Shopping</t>
  </si>
  <si>
    <t>Religion</t>
  </si>
  <si>
    <t>Health</t>
  </si>
  <si>
    <t>Family</t>
  </si>
  <si>
    <t>Daily</t>
  </si>
  <si>
    <t>Weekly</t>
  </si>
  <si>
    <t>Monthly</t>
  </si>
  <si>
    <t>None</t>
  </si>
  <si>
    <t>High</t>
  </si>
  <si>
    <t>Medium</t>
  </si>
  <si>
    <t>Low</t>
  </si>
  <si>
    <t>Task Name</t>
  </si>
  <si>
    <t>Time (hrs)</t>
  </si>
  <si>
    <t>Due Date</t>
  </si>
  <si>
    <t>W</t>
  </si>
  <si>
    <t>F</t>
  </si>
  <si>
    <t>U</t>
  </si>
  <si>
    <t>C</t>
  </si>
  <si>
    <t>D</t>
  </si>
  <si>
    <t>TUI</t>
  </si>
  <si>
    <t>Rank</t>
  </si>
  <si>
    <t>none</t>
  </si>
  <si>
    <t>low</t>
  </si>
  <si>
    <t>Publication</t>
  </si>
  <si>
    <t>Develop Space Photos</t>
  </si>
  <si>
    <t>Amazon Orders</t>
  </si>
  <si>
    <t>Oil Change</t>
  </si>
  <si>
    <t>medium</t>
  </si>
  <si>
    <t>Medical History</t>
  </si>
  <si>
    <t>Latin Prayers</t>
  </si>
  <si>
    <t>Christmas Decorations</t>
  </si>
  <si>
    <t>Birthday List</t>
  </si>
  <si>
    <t>Organize Receipts</t>
  </si>
  <si>
    <t>Update Budget Sheet</t>
  </si>
  <si>
    <t>monthly</t>
  </si>
  <si>
    <t>Game Theory for Tasks</t>
  </si>
  <si>
    <t>high</t>
  </si>
  <si>
    <t>YouTube Channel</t>
  </si>
  <si>
    <t>Dread Level</t>
  </si>
  <si>
    <t>Multiplier_Dr</t>
  </si>
  <si>
    <t>Dread</t>
  </si>
  <si>
    <t>Dr</t>
  </si>
  <si>
    <t>PhD Research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</si>
</sst>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2735AB-31E4-4157-B2E5-5C1B2C3056D3}" name="Table3" displayName="Table3" ref="A1:O14" totalsRowShown="0">
  <autoFilter ref="A1:O14" xr:uid="{342735AB-31E4-4157-B2E5-5C1B2C3056D3}"/>
  <sortState xmlns:xlrd2="http://schemas.microsoft.com/office/spreadsheetml/2017/richdata2" ref="A2:O14">
    <sortCondition descending="1" ref="O1:O14"/>
  </sortState>
  <tableColumns count="15">
    <tableColumn id="1" xr3:uid="{F0805FBC-794A-44AE-A089-12C84BCB689E}" name="Task Name"/>
    <tableColumn id="2" xr3:uid="{CD8038A8-51B4-4452-ABF5-CFCED2C01BE4}" name="Label"/>
    <tableColumn id="3" xr3:uid="{88F9DCE2-0EF2-4777-8D4D-9A9F5D169C78}" name="Time (hrs)"/>
    <tableColumn id="4" xr3:uid="{A6FE7354-9C81-4B48-990F-AFF6CF0309DF}" name="Frequency"/>
    <tableColumn id="5" xr3:uid="{D803D7AB-ACBC-43A7-90B5-0051C52BF516}" name="Urgency"/>
    <tableColumn id="6" xr3:uid="{60A1FF10-2576-4C77-A702-4F0818E5D3E9}" name="Due Date"/>
    <tableColumn id="14" xr3:uid="{9DFEBB46-38A0-49D3-8536-764B5440812B}" name="Dread"/>
    <tableColumn id="7" xr3:uid="{7D9CBA03-3685-43EB-B453-483A13513039}" name="W">
      <calculatedColumnFormula>VLOOKUP(Table3[[#This Row],[Label]], Weights!$A$2:$B$8, 2, FALSE)</calculatedColumnFormula>
    </tableColumn>
    <tableColumn id="8" xr3:uid="{A54A0B12-DC44-482C-9267-DBF6705A28D0}" name="F">
      <calculatedColumnFormula>VLOOKUP(Table3[[#This Row],[Frequency]], Weights!$C$2:$D$5, 2, FALSE)</calculatedColumnFormula>
    </tableColumn>
    <tableColumn id="9" xr3:uid="{00CDB6CA-E30A-4D09-948D-FA26CE73D314}" name="U">
      <calculatedColumnFormula>VLOOKUP(Table3[[#This Row],[Urgency]], Weights!$E$2:$F$5, 2, FALSE)</calculatedColumnFormula>
    </tableColumn>
    <tableColumn id="10" xr3:uid="{FA520DCA-E56D-440C-A02F-46ABAB07A3E0}" name="C">
      <calculatedColumnFormula>MAX(Table3[[#This Row],[Time (hrs)]], 0.25)</calculatedColumnFormula>
    </tableColumn>
    <tableColumn id="11" xr3:uid="{5CD29981-468F-421B-9B32-777546504403}" name="D">
      <calculatedColumnFormula>IF(ISBLANK(Table3[[#This Row],[Due Date]]), 0, IF(Table3[[#This Row],[Due Date]]-TODAY()&lt;0, 10, IF(Table3[[#This Row],[Due Date]]-TODAY()&lt;=1, 5, IF(Table3[[#This Row],[Due Date]]-TODAY()&lt;=7, 3, IF(Table3[[#This Row],[Due Date]]-TODAY()&lt;=14, 1, 0)))))</calculatedColumnFormula>
    </tableColumn>
    <tableColumn id="15" xr3:uid="{D16967D6-E5C1-48FA-A7C8-A25A20789574}" name="Dr" dataDxfId="1">
      <calculatedColumnFormula>_xlfn.IFNA(VLOOKUP(Table3[[#This Row],[Dread]], Weights!$G$2:$H$5, 2, FALSE), 1)</calculatedColumnFormula>
    </tableColumn>
    <tableColumn id="12" xr3:uid="{E9529065-7481-4BBA-9D1F-622E536DFC46}" name="TUI" dataDxfId="0">
      <calculatedColumnFormula>((Table3[[#This Row],[W]]*Table3[[#This Row],[F]])*(Table3[[#This Row],[U]]+Table3[[#This Row],[D]])*Table3[[#This Row],[Dr]])/Table3[[#This Row],[C]]</calculatedColumnFormula>
    </tableColumn>
    <tableColumn id="13" xr3:uid="{48553A7A-3F21-45E5-A5AA-25C908F87AF3}" name="Rank">
      <calculatedColumnFormula>IF((MAX(Table3[TUI])-MIN(Table3[TUI]))=0, 100, 100*(Table3[[#This Row],[TUI]]-MIN(Table3[TUI]))/(MAX(Table3[TUI])-MIN(Table3[TUI])))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13F0C-335C-41B5-BC91-0F6592673B22}">
  <dimension ref="A1:H8"/>
  <sheetViews>
    <sheetView workbookViewId="0">
      <selection activeCell="G10" sqref="G10"/>
    </sheetView>
  </sheetViews>
  <sheetFormatPr defaultRowHeight="15" x14ac:dyDescent="0.25"/>
  <cols>
    <col min="1" max="1" width="10.85546875" bestFit="1" customWidth="1"/>
    <col min="2" max="2" width="10.140625" bestFit="1" customWidth="1"/>
    <col min="3" max="3" width="10.42578125" bestFit="1" customWidth="1"/>
    <col min="4" max="4" width="11.5703125" bestFit="1" customWidth="1"/>
    <col min="5" max="6" width="8.28515625" bestFit="1" customWidth="1"/>
    <col min="7" max="7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47</v>
      </c>
      <c r="H1" s="1" t="s">
        <v>48</v>
      </c>
    </row>
    <row r="2" spans="1:8" x14ac:dyDescent="0.25">
      <c r="A2" t="s">
        <v>6</v>
      </c>
      <c r="B2">
        <v>7</v>
      </c>
      <c r="C2" t="s">
        <v>13</v>
      </c>
      <c r="D2">
        <v>4</v>
      </c>
      <c r="E2" t="s">
        <v>17</v>
      </c>
      <c r="F2">
        <v>4</v>
      </c>
      <c r="G2" t="s">
        <v>17</v>
      </c>
      <c r="H2">
        <v>2.5</v>
      </c>
    </row>
    <row r="3" spans="1:8" x14ac:dyDescent="0.25">
      <c r="A3" t="s">
        <v>7</v>
      </c>
      <c r="B3">
        <v>9</v>
      </c>
      <c r="C3" t="s">
        <v>14</v>
      </c>
      <c r="D3">
        <v>3</v>
      </c>
      <c r="E3" t="s">
        <v>18</v>
      </c>
      <c r="F3">
        <v>3</v>
      </c>
      <c r="G3" t="s">
        <v>18</v>
      </c>
      <c r="H3">
        <v>1.75</v>
      </c>
    </row>
    <row r="4" spans="1:8" x14ac:dyDescent="0.25">
      <c r="A4" t="s">
        <v>8</v>
      </c>
      <c r="B4">
        <v>5</v>
      </c>
      <c r="C4" t="s">
        <v>15</v>
      </c>
      <c r="D4">
        <v>2</v>
      </c>
      <c r="E4" t="s">
        <v>19</v>
      </c>
      <c r="F4">
        <v>2</v>
      </c>
      <c r="G4" t="s">
        <v>19</v>
      </c>
      <c r="H4">
        <v>1.25</v>
      </c>
    </row>
    <row r="5" spans="1:8" x14ac:dyDescent="0.25">
      <c r="A5" t="s">
        <v>9</v>
      </c>
      <c r="B5">
        <v>3</v>
      </c>
      <c r="C5" t="s">
        <v>16</v>
      </c>
      <c r="D5">
        <v>1</v>
      </c>
      <c r="E5" t="s">
        <v>16</v>
      </c>
      <c r="F5">
        <v>1</v>
      </c>
      <c r="G5" t="s">
        <v>16</v>
      </c>
      <c r="H5">
        <v>1</v>
      </c>
    </row>
    <row r="6" spans="1:8" x14ac:dyDescent="0.25">
      <c r="A6" t="s">
        <v>10</v>
      </c>
      <c r="B6">
        <v>5</v>
      </c>
    </row>
    <row r="7" spans="1:8" x14ac:dyDescent="0.25">
      <c r="A7" t="s">
        <v>11</v>
      </c>
      <c r="B7">
        <v>10</v>
      </c>
    </row>
    <row r="8" spans="1:8" x14ac:dyDescent="0.25">
      <c r="A8" t="s">
        <v>12</v>
      </c>
      <c r="B8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AFB90-DD83-4674-9288-11059FE0C432}">
  <dimension ref="A1:O14"/>
  <sheetViews>
    <sheetView tabSelected="1" workbookViewId="0">
      <selection activeCell="B21" sqref="B21"/>
    </sheetView>
  </sheetViews>
  <sheetFormatPr defaultRowHeight="15" x14ac:dyDescent="0.25"/>
  <cols>
    <col min="1" max="1" width="22" customWidth="1"/>
    <col min="3" max="4" width="12.140625" customWidth="1"/>
    <col min="5" max="5" width="10.140625" customWidth="1"/>
    <col min="6" max="7" width="11" customWidth="1"/>
  </cols>
  <sheetData>
    <row r="1" spans="1:15" x14ac:dyDescent="0.25">
      <c r="A1" t="s">
        <v>20</v>
      </c>
      <c r="B1" t="s">
        <v>0</v>
      </c>
      <c r="C1" t="s">
        <v>21</v>
      </c>
      <c r="D1" t="s">
        <v>2</v>
      </c>
      <c r="E1" t="s">
        <v>4</v>
      </c>
      <c r="F1" t="s">
        <v>22</v>
      </c>
      <c r="G1" t="s">
        <v>49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50</v>
      </c>
      <c r="N1" t="s">
        <v>28</v>
      </c>
      <c r="O1" t="s">
        <v>29</v>
      </c>
    </row>
    <row r="2" spans="1:15" x14ac:dyDescent="0.25">
      <c r="A2" t="s">
        <v>42</v>
      </c>
      <c r="B2" t="s">
        <v>7</v>
      </c>
      <c r="C2">
        <v>1.5</v>
      </c>
      <c r="D2" t="s">
        <v>43</v>
      </c>
      <c r="E2" t="s">
        <v>31</v>
      </c>
      <c r="G2" t="s">
        <v>18</v>
      </c>
      <c r="H2">
        <f>VLOOKUP(Table3[[#This Row],[Label]], Weights!$A$2:$B$8, 2, FALSE)</f>
        <v>9</v>
      </c>
      <c r="I2">
        <f>VLOOKUP(Table3[[#This Row],[Frequency]], Weights!$C$2:$D$5, 2, FALSE)</f>
        <v>2</v>
      </c>
      <c r="J2">
        <f>VLOOKUP(Table3[[#This Row],[Urgency]], Weights!$E$2:$F$5, 2, FALSE)</f>
        <v>2</v>
      </c>
      <c r="K2">
        <f>MAX(Table3[[#This Row],[Time (hrs)]], 0.25)</f>
        <v>1.5</v>
      </c>
      <c r="L2">
        <f ca="1">IF(ISBLANK(Table3[[#This Row],[Due Date]]), 0, IF(Table3[[#This Row],[Due Date]]-TODAY()&lt;0, 10, IF(Table3[[#This Row],[Due Date]]-TODAY()&lt;=1, 5, IF(Table3[[#This Row],[Due Date]]-TODAY()&lt;=7, 3, IF(Table3[[#This Row],[Due Date]]-TODAY()&lt;=14, 1, 0)))))</f>
        <v>0</v>
      </c>
      <c r="M2">
        <f>_xlfn.IFNA(VLOOKUP(Table3[[#This Row],[Dread]], Weights!$G$2:$H$5, 2, FALSE), 1)</f>
        <v>1.75</v>
      </c>
      <c r="N2">
        <f ca="1">((Table3[[#This Row],[W]]*Table3[[#This Row],[F]])*(Table3[[#This Row],[U]]+Table3[[#This Row],[D]])*Table3[[#This Row],[Dr]])/Table3[[#This Row],[C]]</f>
        <v>42</v>
      </c>
      <c r="O2">
        <f ca="1">IF((MAX(Table3[TUI])-MIN(Table3[TUI]))=0, 100, 100*(Table3[[#This Row],[TUI]]-MIN(Table3[TUI]))/(MAX(Table3[TUI])-MIN(Table3[TUI])))</f>
        <v>100</v>
      </c>
    </row>
    <row r="3" spans="1:15" x14ac:dyDescent="0.25">
      <c r="A3" t="s">
        <v>35</v>
      </c>
      <c r="B3" t="s">
        <v>8</v>
      </c>
      <c r="C3">
        <v>0.5</v>
      </c>
      <c r="D3" t="s">
        <v>30</v>
      </c>
      <c r="E3" t="s">
        <v>36</v>
      </c>
      <c r="F3" s="2">
        <v>45988</v>
      </c>
      <c r="G3" s="2" t="s">
        <v>19</v>
      </c>
      <c r="H3">
        <f>VLOOKUP(Table3[[#This Row],[Label]], Weights!$A$2:$B$8, 2, FALSE)</f>
        <v>5</v>
      </c>
      <c r="I3">
        <f>VLOOKUP(Table3[[#This Row],[Frequency]], Weights!$C$2:$D$5, 2, FALSE)</f>
        <v>1</v>
      </c>
      <c r="J3">
        <f>VLOOKUP(Table3[[#This Row],[Urgency]], Weights!$E$2:$F$5, 2, FALSE)</f>
        <v>3</v>
      </c>
      <c r="K3">
        <f>MAX(Table3[[#This Row],[Time (hrs)]], 0.25)</f>
        <v>0.5</v>
      </c>
      <c r="L3">
        <f ca="1">IF(ISBLANK(Table3[[#This Row],[Due Date]]), 0, IF(Table3[[#This Row],[Due Date]]-TODAY()&lt;0, 10, IF(Table3[[#This Row],[Due Date]]-TODAY()&lt;=1, 5, IF(Table3[[#This Row],[Due Date]]-TODAY()&lt;=7, 3, IF(Table3[[#This Row],[Due Date]]-TODAY()&lt;=14, 1, 0)))))</f>
        <v>0</v>
      </c>
      <c r="M3">
        <f>_xlfn.IFNA(VLOOKUP(Table3[[#This Row],[Dread]], Weights!$G$2:$H$5, 2, FALSE), 1)</f>
        <v>1.25</v>
      </c>
      <c r="N3">
        <f ca="1">((Table3[[#This Row],[W]]*Table3[[#This Row],[F]])*(Table3[[#This Row],[U]]+Table3[[#This Row],[D]])*Table3[[#This Row],[Dr]])/Table3[[#This Row],[C]]</f>
        <v>37.5</v>
      </c>
      <c r="O3">
        <f ca="1">IF((MAX(Table3[TUI])-MIN(Table3[TUI]))=0, 100, 100*(Table3[[#This Row],[TUI]]-MIN(Table3[TUI]))/(MAX(Table3[TUI])-MIN(Table3[TUI])))</f>
        <v>88.131868131868131</v>
      </c>
    </row>
    <row r="4" spans="1:15" x14ac:dyDescent="0.25">
      <c r="A4" t="s">
        <v>37</v>
      </c>
      <c r="B4" t="s">
        <v>11</v>
      </c>
      <c r="C4">
        <v>2</v>
      </c>
      <c r="D4" t="s">
        <v>30</v>
      </c>
      <c r="E4" t="s">
        <v>36</v>
      </c>
      <c r="G4" t="s">
        <v>19</v>
      </c>
      <c r="H4">
        <f>VLOOKUP(Table3[[#This Row],[Label]], Weights!$A$2:$B$8, 2, FALSE)</f>
        <v>10</v>
      </c>
      <c r="I4">
        <f>VLOOKUP(Table3[[#This Row],[Frequency]], Weights!$C$2:$D$5, 2, FALSE)</f>
        <v>1</v>
      </c>
      <c r="J4">
        <f>VLOOKUP(Table3[[#This Row],[Urgency]], Weights!$E$2:$F$5, 2, FALSE)</f>
        <v>3</v>
      </c>
      <c r="K4">
        <f>MAX(Table3[[#This Row],[Time (hrs)]], 0.25)</f>
        <v>2</v>
      </c>
      <c r="L4">
        <f ca="1">IF(ISBLANK(Table3[[#This Row],[Due Date]]), 0, IF(Table3[[#This Row],[Due Date]]-TODAY()&lt;0, 10, IF(Table3[[#This Row],[Due Date]]-TODAY()&lt;=1, 5, IF(Table3[[#This Row],[Due Date]]-TODAY()&lt;=7, 3, IF(Table3[[#This Row],[Due Date]]-TODAY()&lt;=14, 1, 0)))))</f>
        <v>0</v>
      </c>
      <c r="M4">
        <f>_xlfn.IFNA(VLOOKUP(Table3[[#This Row],[Dread]], Weights!$G$2:$H$5, 2, FALSE), 1)</f>
        <v>1.25</v>
      </c>
      <c r="N4">
        <f ca="1">((Table3[[#This Row],[W]]*Table3[[#This Row],[F]])*(Table3[[#This Row],[U]]+Table3[[#This Row],[D]])*Table3[[#This Row],[Dr]])/Table3[[#This Row],[C]]</f>
        <v>18.75</v>
      </c>
      <c r="O4">
        <f ca="1">IF((MAX(Table3[TUI])-MIN(Table3[TUI]))=0, 100, 100*(Table3[[#This Row],[TUI]]-MIN(Table3[TUI]))/(MAX(Table3[TUI])-MIN(Table3[TUI])))</f>
        <v>38.681318681318686</v>
      </c>
    </row>
    <row r="5" spans="1:15" x14ac:dyDescent="0.25">
      <c r="A5" t="s">
        <v>41</v>
      </c>
      <c r="B5" t="s">
        <v>7</v>
      </c>
      <c r="C5">
        <v>2.5</v>
      </c>
      <c r="D5" t="s">
        <v>30</v>
      </c>
      <c r="E5" t="s">
        <v>31</v>
      </c>
      <c r="G5" t="s">
        <v>17</v>
      </c>
      <c r="H5">
        <f>VLOOKUP(Table3[[#This Row],[Label]], Weights!$A$2:$B$8, 2, FALSE)</f>
        <v>9</v>
      </c>
      <c r="I5">
        <f>VLOOKUP(Table3[[#This Row],[Frequency]], Weights!$C$2:$D$5, 2, FALSE)</f>
        <v>1</v>
      </c>
      <c r="J5">
        <f>VLOOKUP(Table3[[#This Row],[Urgency]], Weights!$E$2:$F$5, 2, FALSE)</f>
        <v>2</v>
      </c>
      <c r="K5">
        <f>MAX(Table3[[#This Row],[Time (hrs)]], 0.25)</f>
        <v>2.5</v>
      </c>
      <c r="L5">
        <f ca="1">IF(ISBLANK(Table3[[#This Row],[Due Date]]), 0, IF(Table3[[#This Row],[Due Date]]-TODAY()&lt;0, 10, IF(Table3[[#This Row],[Due Date]]-TODAY()&lt;=1, 5, IF(Table3[[#This Row],[Due Date]]-TODAY()&lt;=7, 3, IF(Table3[[#This Row],[Due Date]]-TODAY()&lt;=14, 1, 0)))))</f>
        <v>0</v>
      </c>
      <c r="M5">
        <f>_xlfn.IFNA(VLOOKUP(Table3[[#This Row],[Dread]], Weights!$G$2:$H$5, 2, FALSE), 1)</f>
        <v>2.5</v>
      </c>
      <c r="N5">
        <f ca="1">((Table3[[#This Row],[W]]*Table3[[#This Row],[F]])*(Table3[[#This Row],[U]]+Table3[[#This Row],[D]])*Table3[[#This Row],[Dr]])/Table3[[#This Row],[C]]</f>
        <v>18</v>
      </c>
      <c r="O5">
        <f ca="1">IF((MAX(Table3[TUI])-MIN(Table3[TUI]))=0, 100, 100*(Table3[[#This Row],[TUI]]-MIN(Table3[TUI]))/(MAX(Table3[TUI])-MIN(Table3[TUI])))</f>
        <v>36.703296703296708</v>
      </c>
    </row>
    <row r="6" spans="1:15" x14ac:dyDescent="0.25">
      <c r="A6" t="s">
        <v>44</v>
      </c>
      <c r="B6" t="s">
        <v>6</v>
      </c>
      <c r="C6">
        <v>2</v>
      </c>
      <c r="D6" t="s">
        <v>30</v>
      </c>
      <c r="E6" t="s">
        <v>45</v>
      </c>
      <c r="G6" t="s">
        <v>19</v>
      </c>
      <c r="H6">
        <f>VLOOKUP(Table3[[#This Row],[Label]], Weights!$A$2:$B$8, 2, FALSE)</f>
        <v>7</v>
      </c>
      <c r="I6">
        <f>VLOOKUP(Table3[[#This Row],[Frequency]], Weights!$C$2:$D$5, 2, FALSE)</f>
        <v>1</v>
      </c>
      <c r="J6">
        <f>VLOOKUP(Table3[[#This Row],[Urgency]], Weights!$E$2:$F$5, 2, FALSE)</f>
        <v>4</v>
      </c>
      <c r="K6">
        <f>MAX(Table3[[#This Row],[Time (hrs)]], 0.25)</f>
        <v>2</v>
      </c>
      <c r="L6">
        <f ca="1">IF(ISBLANK(Table3[[#This Row],[Due Date]]), 0, IF(Table3[[#This Row],[Due Date]]-TODAY()&lt;0, 10, IF(Table3[[#This Row],[Due Date]]-TODAY()&lt;=1, 5, IF(Table3[[#This Row],[Due Date]]-TODAY()&lt;=7, 3, IF(Table3[[#This Row],[Due Date]]-TODAY()&lt;=14, 1, 0)))))</f>
        <v>0</v>
      </c>
      <c r="M6">
        <f>_xlfn.IFNA(VLOOKUP(Table3[[#This Row],[Dread]], Weights!$G$2:$H$5, 2, FALSE), 1)</f>
        <v>1.25</v>
      </c>
      <c r="N6">
        <f ca="1">((Table3[[#This Row],[W]]*Table3[[#This Row],[F]])*(Table3[[#This Row],[U]]+Table3[[#This Row],[D]])*Table3[[#This Row],[Dr]])/Table3[[#This Row],[C]]</f>
        <v>17.5</v>
      </c>
      <c r="O6">
        <f ca="1">IF((MAX(Table3[TUI])-MIN(Table3[TUI]))=0, 100, 100*(Table3[[#This Row],[TUI]]-MIN(Table3[TUI]))/(MAX(Table3[TUI])-MIN(Table3[TUI])))</f>
        <v>35.384615384615387</v>
      </c>
    </row>
    <row r="7" spans="1:15" x14ac:dyDescent="0.25">
      <c r="A7" t="s">
        <v>40</v>
      </c>
      <c r="B7" t="s">
        <v>12</v>
      </c>
      <c r="C7">
        <v>3</v>
      </c>
      <c r="D7" t="s">
        <v>30</v>
      </c>
      <c r="E7" t="s">
        <v>31</v>
      </c>
      <c r="G7" t="s">
        <v>18</v>
      </c>
      <c r="H7">
        <f>VLOOKUP(Table3[[#This Row],[Label]], Weights!$A$2:$B$8, 2, FALSE)</f>
        <v>8</v>
      </c>
      <c r="I7">
        <f>VLOOKUP(Table3[[#This Row],[Frequency]], Weights!$C$2:$D$5, 2, FALSE)</f>
        <v>1</v>
      </c>
      <c r="J7">
        <f>VLOOKUP(Table3[[#This Row],[Urgency]], Weights!$E$2:$F$5, 2, FALSE)</f>
        <v>2</v>
      </c>
      <c r="K7">
        <f>MAX(Table3[[#This Row],[Time (hrs)]], 0.25)</f>
        <v>3</v>
      </c>
      <c r="L7">
        <f ca="1">IF(ISBLANK(Table3[[#This Row],[Due Date]]), 0, IF(Table3[[#This Row],[Due Date]]-TODAY()&lt;0, 10, IF(Table3[[#This Row],[Due Date]]-TODAY()&lt;=1, 5, IF(Table3[[#This Row],[Due Date]]-TODAY()&lt;=7, 3, IF(Table3[[#This Row],[Due Date]]-TODAY()&lt;=14, 1, 0)))))</f>
        <v>0</v>
      </c>
      <c r="M7">
        <f>_xlfn.IFNA(VLOOKUP(Table3[[#This Row],[Dread]], Weights!$G$2:$H$5, 2, FALSE), 1)</f>
        <v>1.75</v>
      </c>
      <c r="N7">
        <f ca="1">((Table3[[#This Row],[W]]*Table3[[#This Row],[F]])*(Table3[[#This Row],[U]]+Table3[[#This Row],[D]])*Table3[[#This Row],[Dr]])/Table3[[#This Row],[C]]</f>
        <v>9.3333333333333339</v>
      </c>
      <c r="O7">
        <f ca="1">IF((MAX(Table3[TUI])-MIN(Table3[TUI]))=0, 100, 100*(Table3[[#This Row],[TUI]]-MIN(Table3[TUI]))/(MAX(Table3[TUI])-MIN(Table3[TUI])))</f>
        <v>13.84615384615385</v>
      </c>
    </row>
    <row r="8" spans="1:15" x14ac:dyDescent="0.25">
      <c r="A8" t="s">
        <v>39</v>
      </c>
      <c r="B8" t="s">
        <v>12</v>
      </c>
      <c r="C8">
        <v>2.5</v>
      </c>
      <c r="D8" t="s">
        <v>30</v>
      </c>
      <c r="E8" t="s">
        <v>31</v>
      </c>
      <c r="G8" t="s">
        <v>19</v>
      </c>
      <c r="H8">
        <f>VLOOKUP(Table3[[#This Row],[Label]], Weights!$A$2:$B$8, 2, FALSE)</f>
        <v>8</v>
      </c>
      <c r="I8">
        <f>VLOOKUP(Table3[[#This Row],[Frequency]], Weights!$C$2:$D$5, 2, FALSE)</f>
        <v>1</v>
      </c>
      <c r="J8">
        <f>VLOOKUP(Table3[[#This Row],[Urgency]], Weights!$E$2:$F$5, 2, FALSE)</f>
        <v>2</v>
      </c>
      <c r="K8">
        <f>MAX(Table3[[#This Row],[Time (hrs)]], 0.25)</f>
        <v>2.5</v>
      </c>
      <c r="L8">
        <f ca="1">IF(ISBLANK(Table3[[#This Row],[Due Date]]), 0, IF(Table3[[#This Row],[Due Date]]-TODAY()&lt;0, 10, IF(Table3[[#This Row],[Due Date]]-TODAY()&lt;=1, 5, IF(Table3[[#This Row],[Due Date]]-TODAY()&lt;=7, 3, IF(Table3[[#This Row],[Due Date]]-TODAY()&lt;=14, 1, 0)))))</f>
        <v>0</v>
      </c>
      <c r="M8">
        <f>_xlfn.IFNA(VLOOKUP(Table3[[#This Row],[Dread]], Weights!$G$2:$H$5, 2, FALSE), 1)</f>
        <v>1.25</v>
      </c>
      <c r="N8">
        <f ca="1">((Table3[[#This Row],[W]]*Table3[[#This Row],[F]])*(Table3[[#This Row],[U]]+Table3[[#This Row],[D]])*Table3[[#This Row],[Dr]])/Table3[[#This Row],[C]]</f>
        <v>8</v>
      </c>
      <c r="O8">
        <f ca="1">IF((MAX(Table3[TUI])-MIN(Table3[TUI]))=0, 100, 100*(Table3[[#This Row],[TUI]]-MIN(Table3[TUI]))/(MAX(Table3[TUI])-MIN(Table3[TUI])))</f>
        <v>10.32967032967033</v>
      </c>
    </row>
    <row r="9" spans="1:15" x14ac:dyDescent="0.25">
      <c r="A9" t="s">
        <v>34</v>
      </c>
      <c r="B9" t="s">
        <v>9</v>
      </c>
      <c r="C9">
        <v>1</v>
      </c>
      <c r="D9" t="s">
        <v>30</v>
      </c>
      <c r="E9" t="s">
        <v>31</v>
      </c>
      <c r="G9" t="s">
        <v>31</v>
      </c>
      <c r="H9">
        <f>VLOOKUP(Table3[[#This Row],[Label]], Weights!$A$2:$B$8, 2, FALSE)</f>
        <v>3</v>
      </c>
      <c r="I9">
        <f>VLOOKUP(Table3[[#This Row],[Frequency]], Weights!$C$2:$D$5, 2, FALSE)</f>
        <v>1</v>
      </c>
      <c r="J9">
        <f>VLOOKUP(Table3[[#This Row],[Urgency]], Weights!$E$2:$F$5, 2, FALSE)</f>
        <v>2</v>
      </c>
      <c r="K9">
        <f>MAX(Table3[[#This Row],[Time (hrs)]], 0.25)</f>
        <v>1</v>
      </c>
      <c r="L9">
        <f ca="1">IF(ISBLANK(Table3[[#This Row],[Due Date]]), 0, IF(Table3[[#This Row],[Due Date]]-TODAY()&lt;0, 10, IF(Table3[[#This Row],[Due Date]]-TODAY()&lt;=1, 5, IF(Table3[[#This Row],[Due Date]]-TODAY()&lt;=7, 3, IF(Table3[[#This Row],[Due Date]]-TODAY()&lt;=14, 1, 0)))))</f>
        <v>0</v>
      </c>
      <c r="M9">
        <f>_xlfn.IFNA(VLOOKUP(Table3[[#This Row],[Dread]], Weights!$G$2:$H$5, 2, FALSE), 1)</f>
        <v>1.25</v>
      </c>
      <c r="N9">
        <f ca="1">((Table3[[#This Row],[W]]*Table3[[#This Row],[F]])*(Table3[[#This Row],[U]]+Table3[[#This Row],[D]])*Table3[[#This Row],[Dr]])/Table3[[#This Row],[C]]</f>
        <v>7.5</v>
      </c>
      <c r="O9">
        <f ca="1">IF((MAX(Table3[TUI])-MIN(Table3[TUI]))=0, 100, 100*(Table3[[#This Row],[TUI]]-MIN(Table3[TUI]))/(MAX(Table3[TUI])-MIN(Table3[TUI])))</f>
        <v>9.0109890109890127</v>
      </c>
    </row>
    <row r="10" spans="1:15" x14ac:dyDescent="0.25">
      <c r="A10" t="s">
        <v>38</v>
      </c>
      <c r="B10" t="s">
        <v>10</v>
      </c>
      <c r="C10">
        <v>2</v>
      </c>
      <c r="D10" t="s">
        <v>30</v>
      </c>
      <c r="E10" t="s">
        <v>31</v>
      </c>
      <c r="G10" t="s">
        <v>31</v>
      </c>
      <c r="H10">
        <f>VLOOKUP(Table3[[#This Row],[Label]], Weights!$A$2:$B$8, 2, FALSE)</f>
        <v>5</v>
      </c>
      <c r="I10">
        <f>VLOOKUP(Table3[[#This Row],[Frequency]], Weights!$C$2:$D$5, 2, FALSE)</f>
        <v>1</v>
      </c>
      <c r="J10">
        <f>VLOOKUP(Table3[[#This Row],[Urgency]], Weights!$E$2:$F$5, 2, FALSE)</f>
        <v>2</v>
      </c>
      <c r="K10">
        <f>MAX(Table3[[#This Row],[Time (hrs)]], 0.25)</f>
        <v>2</v>
      </c>
      <c r="L10">
        <f ca="1">IF(ISBLANK(Table3[[#This Row],[Due Date]]), 0, IF(Table3[[#This Row],[Due Date]]-TODAY()&lt;0, 10, IF(Table3[[#This Row],[Due Date]]-TODAY()&lt;=1, 5, IF(Table3[[#This Row],[Due Date]]-TODAY()&lt;=7, 3, IF(Table3[[#This Row],[Due Date]]-TODAY()&lt;=14, 1, 0)))))</f>
        <v>0</v>
      </c>
      <c r="M10">
        <f>_xlfn.IFNA(VLOOKUP(Table3[[#This Row],[Dread]], Weights!$G$2:$H$5, 2, FALSE), 1)</f>
        <v>1.25</v>
      </c>
      <c r="N10">
        <f ca="1">((Table3[[#This Row],[W]]*Table3[[#This Row],[F]])*(Table3[[#This Row],[U]]+Table3[[#This Row],[D]])*Table3[[#This Row],[Dr]])/Table3[[#This Row],[C]]</f>
        <v>6.25</v>
      </c>
      <c r="O10">
        <f ca="1">IF((MAX(Table3[TUI])-MIN(Table3[TUI]))=0, 100, 100*(Table3[[#This Row],[TUI]]-MIN(Table3[TUI]))/(MAX(Table3[TUI])-MIN(Table3[TUI])))</f>
        <v>5.7142857142857153</v>
      </c>
    </row>
    <row r="11" spans="1:15" x14ac:dyDescent="0.25">
      <c r="A11" t="s">
        <v>51</v>
      </c>
      <c r="B11" t="s">
        <v>6</v>
      </c>
      <c r="C11">
        <v>4</v>
      </c>
      <c r="D11" t="s">
        <v>30</v>
      </c>
      <c r="E11" t="s">
        <v>31</v>
      </c>
      <c r="G11" t="s">
        <v>36</v>
      </c>
      <c r="H11">
        <f>VLOOKUP(Table3[[#This Row],[Label]], Weights!$A$2:$B$8, 2, FALSE)</f>
        <v>7</v>
      </c>
      <c r="I11">
        <f>VLOOKUP(Table3[[#This Row],[Frequency]], Weights!$C$2:$D$5, 2, FALSE)</f>
        <v>1</v>
      </c>
      <c r="J11">
        <f>VLOOKUP(Table3[[#This Row],[Urgency]], Weights!$E$2:$F$5, 2, FALSE)</f>
        <v>2</v>
      </c>
      <c r="K11">
        <f>MAX(Table3[[#This Row],[Time (hrs)]], 0.25)</f>
        <v>4</v>
      </c>
      <c r="L11">
        <f ca="1">IF(ISBLANK(Table3[[#This Row],[Due Date]]), 0, IF(Table3[[#This Row],[Due Date]]-TODAY()&lt;0, 10, IF(Table3[[#This Row],[Due Date]]-TODAY()&lt;=1, 5, IF(Table3[[#This Row],[Due Date]]-TODAY()&lt;=7, 3, IF(Table3[[#This Row],[Due Date]]-TODAY()&lt;=14, 1, 0)))))</f>
        <v>0</v>
      </c>
      <c r="M11">
        <f>_xlfn.IFNA(VLOOKUP(Table3[[#This Row],[Dread]], Weights!$G$2:$H$5, 2, FALSE), 1)</f>
        <v>1.75</v>
      </c>
      <c r="N11">
        <f ca="1">((Table3[[#This Row],[W]]*Table3[[#This Row],[F]])*(Table3[[#This Row],[U]]+Table3[[#This Row],[D]])*Table3[[#This Row],[Dr]])/Table3[[#This Row],[C]]</f>
        <v>6.125</v>
      </c>
      <c r="O11">
        <f ca="1">IF((MAX(Table3[TUI])-MIN(Table3[TUI]))=0, 100, 100*(Table3[[#This Row],[TUI]]-MIN(Table3[TUI]))/(MAX(Table3[TUI])-MIN(Table3[TUI])))</f>
        <v>5.384615384615385</v>
      </c>
    </row>
    <row r="12" spans="1:15" x14ac:dyDescent="0.25">
      <c r="A12" t="s">
        <v>46</v>
      </c>
      <c r="B12" t="s">
        <v>6</v>
      </c>
      <c r="C12">
        <v>4</v>
      </c>
      <c r="D12" t="s">
        <v>30</v>
      </c>
      <c r="E12" t="s">
        <v>31</v>
      </c>
      <c r="G12" t="s">
        <v>18</v>
      </c>
      <c r="H12">
        <f>VLOOKUP(Table3[[#This Row],[Label]], Weights!$A$2:$B$8, 2, FALSE)</f>
        <v>7</v>
      </c>
      <c r="I12">
        <f>VLOOKUP(Table3[[#This Row],[Frequency]], Weights!$C$2:$D$5, 2, FALSE)</f>
        <v>1</v>
      </c>
      <c r="J12">
        <f>VLOOKUP(Table3[[#This Row],[Urgency]], Weights!$E$2:$F$5, 2, FALSE)</f>
        <v>2</v>
      </c>
      <c r="K12">
        <f>MAX(Table3[[#This Row],[Time (hrs)]], 0.25)</f>
        <v>4</v>
      </c>
      <c r="L12">
        <f ca="1">IF(ISBLANK(Table3[[#This Row],[Due Date]]), 0, IF(Table3[[#This Row],[Due Date]]-TODAY()&lt;0, 10, IF(Table3[[#This Row],[Due Date]]-TODAY()&lt;=1, 5, IF(Table3[[#This Row],[Due Date]]-TODAY()&lt;=7, 3, IF(Table3[[#This Row],[Due Date]]-TODAY()&lt;=14, 1, 0)))))</f>
        <v>0</v>
      </c>
      <c r="M12">
        <f>_xlfn.IFNA(VLOOKUP(Table3[[#This Row],[Dread]], Weights!$G$2:$H$5, 2, FALSE), 1)</f>
        <v>1.75</v>
      </c>
      <c r="N12">
        <f ca="1">((Table3[[#This Row],[W]]*Table3[[#This Row],[F]])*(Table3[[#This Row],[U]]+Table3[[#This Row],[D]])*Table3[[#This Row],[Dr]])/Table3[[#This Row],[C]]</f>
        <v>6.125</v>
      </c>
      <c r="O12">
        <f ca="1">IF((MAX(Table3[TUI])-MIN(Table3[TUI]))=0, 100, 100*(Table3[[#This Row],[TUI]]-MIN(Table3[TUI]))/(MAX(Table3[TUI])-MIN(Table3[TUI])))</f>
        <v>5.384615384615385</v>
      </c>
    </row>
    <row r="13" spans="1:15" x14ac:dyDescent="0.25">
      <c r="A13" t="s">
        <v>33</v>
      </c>
      <c r="B13" t="s">
        <v>6</v>
      </c>
      <c r="C13">
        <v>3</v>
      </c>
      <c r="D13" t="s">
        <v>30</v>
      </c>
      <c r="E13" t="s">
        <v>31</v>
      </c>
      <c r="G13" t="s">
        <v>31</v>
      </c>
      <c r="H13">
        <f>VLOOKUP(Table3[[#This Row],[Label]], Weights!$A$2:$B$8, 2, FALSE)</f>
        <v>7</v>
      </c>
      <c r="I13">
        <f>VLOOKUP(Table3[[#This Row],[Frequency]], Weights!$C$2:$D$5, 2, FALSE)</f>
        <v>1</v>
      </c>
      <c r="J13">
        <f>VLOOKUP(Table3[[#This Row],[Urgency]], Weights!$E$2:$F$5, 2, FALSE)</f>
        <v>2</v>
      </c>
      <c r="K13">
        <f>MAX(Table3[[#This Row],[Time (hrs)]], 0.25)</f>
        <v>3</v>
      </c>
      <c r="L13">
        <f ca="1">IF(ISBLANK(Table3[[#This Row],[Due Date]]), 0, IF(Table3[[#This Row],[Due Date]]-TODAY()&lt;0, 10, IF(Table3[[#This Row],[Due Date]]-TODAY()&lt;=1, 5, IF(Table3[[#This Row],[Due Date]]-TODAY()&lt;=7, 3, IF(Table3[[#This Row],[Due Date]]-TODAY()&lt;=14, 1, 0)))))</f>
        <v>0</v>
      </c>
      <c r="M13">
        <f>_xlfn.IFNA(VLOOKUP(Table3[[#This Row],[Dread]], Weights!$G$2:$H$5, 2, FALSE), 1)</f>
        <v>1.25</v>
      </c>
      <c r="N13">
        <f ca="1">((Table3[[#This Row],[W]]*Table3[[#This Row],[F]])*(Table3[[#This Row],[U]]+Table3[[#This Row],[D]])*Table3[[#This Row],[Dr]])/Table3[[#This Row],[C]]</f>
        <v>5.833333333333333</v>
      </c>
      <c r="O13">
        <f ca="1">IF((MAX(Table3[TUI])-MIN(Table3[TUI]))=0, 100, 100*(Table3[[#This Row],[TUI]]-MIN(Table3[TUI]))/(MAX(Table3[TUI])-MIN(Table3[TUI])))</f>
        <v>4.6153846153846159</v>
      </c>
    </row>
    <row r="14" spans="1:15" x14ac:dyDescent="0.25">
      <c r="A14" t="s">
        <v>32</v>
      </c>
      <c r="B14" t="s">
        <v>6</v>
      </c>
      <c r="C14">
        <v>6</v>
      </c>
      <c r="D14" t="s">
        <v>30</v>
      </c>
      <c r="E14" t="s">
        <v>31</v>
      </c>
      <c r="G14" t="s">
        <v>18</v>
      </c>
      <c r="H14">
        <f>VLOOKUP(Table3[[#This Row],[Label]], Weights!$A$2:$B$8, 2, FALSE)</f>
        <v>7</v>
      </c>
      <c r="I14">
        <f>VLOOKUP(Table3[[#This Row],[Frequency]], Weights!$C$2:$D$5, 2, FALSE)</f>
        <v>1</v>
      </c>
      <c r="J14">
        <f>VLOOKUP(Table3[[#This Row],[Urgency]], Weights!$E$2:$F$5, 2, FALSE)</f>
        <v>2</v>
      </c>
      <c r="K14">
        <f>MAX(Table3[[#This Row],[Time (hrs)]], 0.25)</f>
        <v>6</v>
      </c>
      <c r="L14">
        <f ca="1">IF(ISBLANK(Table3[[#This Row],[Due Date]]), 0, IF(Table3[[#This Row],[Due Date]]-TODAY()&lt;0, 10, IF(Table3[[#This Row],[Due Date]]-TODAY()&lt;=1, 5, IF(Table3[[#This Row],[Due Date]]-TODAY()&lt;=7, 3, IF(Table3[[#This Row],[Due Date]]-TODAY()&lt;=14, 1, 0)))))</f>
        <v>0</v>
      </c>
      <c r="M14">
        <f>_xlfn.IFNA(VLOOKUP(Table3[[#This Row],[Dread]], Weights!$G$2:$H$5, 2, FALSE), 1)</f>
        <v>1.75</v>
      </c>
      <c r="N14">
        <f ca="1">((Table3[[#This Row],[W]]*Table3[[#This Row],[F]])*(Table3[[#This Row],[U]]+Table3[[#This Row],[D]])*Table3[[#This Row],[Dr]])/Table3[[#This Row],[C]]</f>
        <v>4.083333333333333</v>
      </c>
      <c r="O14">
        <f ca="1">IF((MAX(Table3[TUI])-MIN(Table3[TUI]))=0, 100, 100*(Table3[[#This Row],[TUI]]-MIN(Table3[TUI]))/(MAX(Table3[TUI])-MIN(Table3[TUI])))</f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Weights</vt:lpstr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Flores</dc:creator>
  <cp:lastModifiedBy>Richard Flores</cp:lastModifiedBy>
  <dcterms:created xsi:type="dcterms:W3CDTF">2025-11-03T18:35:07Z</dcterms:created>
  <dcterms:modified xsi:type="dcterms:W3CDTF">2025-11-03T21:46:31Z</dcterms:modified>
</cp:coreProperties>
</file>